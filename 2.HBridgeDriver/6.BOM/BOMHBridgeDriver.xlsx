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<sst xmlns="http://schemas.openxmlformats.org/spreadsheetml/2006/main" count="64" uniqueCount="64">
  <si>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Name</t>
  </si>
  <si>
    <t>Type</t>
  </si>
  <si>
    <t>Designator</t>
  </si>
  <si>
    <t>Quantity</t>
  </si>
  <si>
    <t>Price</t>
  </si>
  <si>
    <t>Total Price</t>
  </si>
  <si>
    <t>Supplier 1</t>
  </si>
  <si>
    <t>CAP, size 0603, 22 uF, 6.3 VDC</t>
  </si>
  <si>
    <t>C1, C2</t>
  </si>
  <si>
    <t>https://www.thegioiic.com/tu-gom-0603-22uf-10v</t>
  </si>
  <si>
    <t>CAP, size 0805, 10 nF, 50 VDC</t>
  </si>
  <si>
    <t>C3</t>
  </si>
  <si>
    <t>https://www.thegioiic.com/tu-gom-0805-10nf-50v</t>
  </si>
  <si>
    <t>Diode 1N5819W</t>
  </si>
  <si>
    <t>1N5819W Diode Schottky 1A 40V SOD-123</t>
  </si>
  <si>
    <t>D1, D2</t>
  </si>
  <si>
    <t>https://www.thegioiic.com/1n5819w-diode-schottky-1a-40v-sod-123</t>
  </si>
  <si>
    <t>LED xanh lá</t>
  </si>
  <si>
    <t>WL-SMCW SMT Mono-color Chip LED Waterclear, size 0603, Green, 3.2V, 140deg</t>
  </si>
  <si>
    <t>D3</t>
  </si>
  <si>
    <t>https://www.thegioiic.com/led-xanh-la-0603-dan-smd-trong-suot</t>
  </si>
  <si>
    <t>LED xanh dương</t>
  </si>
  <si>
    <t>WL-SMCW SMT Mono-color Chip LED Waterclear, size 0603, Blue, 3.2V, 140deg</t>
  </si>
  <si>
    <t>D4</t>
  </si>
  <si>
    <t>https://www.thegioiic.com/led-xanh-duong-0603-dan-smd-trong-suot</t>
  </si>
  <si>
    <t>2 Pin Terminal Block 5mm Pitch</t>
  </si>
  <si>
    <t>KF301-2-V Domino 2 Chân Thẳng 5.08mm 300V 10A Hàn PCB</t>
  </si>
  <si>
    <t>J1</t>
  </si>
  <si>
    <t>https://www.thegioiic.com/kf301-2-v-domino-2-chan-thang-5-08mm-300v-10a-han-pcb</t>
  </si>
  <si>
    <t>2.54mm Terminal</t>
  </si>
  <si>
    <t>KF120-2-V Domino 2 Chân Thẳng 2.54mm 150V 6A Hàn PCB</t>
  </si>
  <si>
    <t>J2, J3</t>
  </si>
  <si>
    <t>https://www.thegioiic.com/kf120-2-v-domino-2-chan-thang-2-54mm-150v-6a-han-pcb</t>
  </si>
  <si>
    <t>Hàng Rào Đực Đôi 2.54mm</t>
  </si>
  <si>
    <t>Hàng Rào Đực Đôi 2.54mm 80 Chân 2 Hàng Cao 21mm Xuyên Lỗ</t>
  </si>
  <si>
    <t>J4</t>
  </si>
  <si>
    <t>https://www.thegioiic.com/hang-rao-duc-doi-2-54mm-80-chan-2-hang-cao-21mm-xuyen-lo</t>
  </si>
  <si>
    <t>IRLR7843</t>
  </si>
  <si>
    <t>IRLR7843 MOSFET Kênh N 30V 161A TO-252-3</t>
  </si>
  <si>
    <t>Q1, Q2, Q3, Q4</t>
  </si>
  <si>
    <t>https://www.thegioiic.com/irlr7843-mosfet-kenh-n-30v-161a-to-252-3</t>
  </si>
  <si>
    <t>RES, size 0603, 100 Ohm, 1/4 W</t>
  </si>
  <si>
    <t>R1, R4, R5, R6, R9, R10</t>
  </si>
  <si>
    <t>https://www.thegioiic.com/dien-tro-100-ohm-0603-1-</t>
  </si>
  <si>
    <t>RES, size 0603, 1 KOhm, 1/4 W</t>
  </si>
  <si>
    <t>R2, R3, R13</t>
  </si>
  <si>
    <t>https://www.thegioiic.com/dien-tro-1-kohm-0603-5-</t>
  </si>
  <si>
    <t>RES, size 0603, 10 KOhm, 1/4 W</t>
  </si>
  <si>
    <t>R7, R8, R11, R12</t>
  </si>
  <si>
    <t>https://www.thegioiic.com/dien-tro-10-kohm-0603-5-</t>
  </si>
  <si>
    <t>MP3.2</t>
  </si>
  <si>
    <t>Scr1</t>
  </si>
  <si>
    <t>https://www.thegioiic.com/vit-nhua-m3-dai-5mm</t>
  </si>
  <si>
    <t>PC817X2NIPW</t>
  </si>
  <si>
    <t>Optocoupler DC-IN 1-CH Transistor DC-OUT 4-Pin DIP SMD T/R</t>
  </si>
  <si>
    <t>U1, U4</t>
  </si>
  <si>
    <t>https://www.thegioiic.com/pc817x2nipw-optoisolator-transistor-output-5000vrms-1-channel-sop-4</t>
  </si>
  <si>
    <t>IR2104SPBF</t>
  </si>
  <si>
    <t>Half-Bridge Gate Driver IC Non-Inverting 8-SOIC</t>
  </si>
  <si>
    <t>U2, U3</t>
  </si>
  <si>
    <t>https://www.thegioiic.com/ir2104spbf-mosfet-2-ngo-ra-360-ma-20v-8-soic</t>
  </si>
  <si>
    <t>PCB</t>
  </si>
  <si>
    <t>PCB-Pannel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</si>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</sst>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[$VND]\ * #,##0.00_ ;_ [$VND]\ * \-#,##0.00_ ;_ [$VND]\ * &quot;-&quot;??_ ;_ @_ "/>
    <numFmt numFmtId="179" formatCode="[$VND]\ #,##0.00;[$VND]\ \-#,##0.00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  <scheme val="minor"/>
    </font>
    <font>
      <u/>
      <sz val="11"/>
      <color rgb="FF46788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178" fontId="2" fillId="0" borderId="0" xfId="0" applyNumberFormat="1" applyFont="1" applyAlignment="1"/>
    <xf numFmtId="0" fontId="3" fillId="0" borderId="0" xfId="0" applyFont="1" applyAlignment="1"/>
    <xf numFmtId="178" fontId="0" fillId="0" borderId="0" xfId="0" applyNumberFormat="1">
      <alignment vertical="center"/>
    </xf>
    <xf numFmtId="0" fontId="4" fillId="0" borderId="0" xfId="6">
      <alignment vertical="center"/>
    </xf>
    <xf numFmtId="179" fontId="0" fillId="0" borderId="0" xfId="0" applyNumberFormat="1">
      <alignment vertical="center"/>
    </xf>
    <xf numFmtId="0" fontId="5" fillId="0" borderId="0" xfId="0" applyFont="1">
      <alignment vertical="center"/>
    </xf>
    <xf numFmtId="178" fontId="5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hegioiic.com/irlr7843-mosfet-kenh-n-30v-161a-to-252-3" TargetMode="External"/><Relationship Id="rId8" Type="http://schemas.openxmlformats.org/officeDocument/2006/relationships/hyperlink" Target="https://www.thegioiic.com/hang-rao-duc-doi-2-54mm-80-chan-2-hang-cao-21mm-xuyen-lo" TargetMode="External"/><Relationship Id="rId7" Type="http://schemas.openxmlformats.org/officeDocument/2006/relationships/hyperlink" Target="https://www.thegioiic.com/kf120-2-v-domino-2-chan-thang-2-54mm-150v-6a-han-pcb" TargetMode="External"/><Relationship Id="rId6" Type="http://schemas.openxmlformats.org/officeDocument/2006/relationships/hyperlink" Target="https://www.thegioiic.com/kf301-2-v-domino-2-chan-thang-5-08mm-300v-10a-han-pcb" TargetMode="External"/><Relationship Id="rId5" Type="http://schemas.openxmlformats.org/officeDocument/2006/relationships/hyperlink" Target="https://www.thegioiic.com/led-xanh-duong-0603-dan-smd-trong-suot" TargetMode="External"/><Relationship Id="rId4" Type="http://schemas.openxmlformats.org/officeDocument/2006/relationships/hyperlink" Target="https://www.thegioiic.com/led-xanh-la-0603-dan-smd-trong-suot" TargetMode="External"/><Relationship Id="rId3" Type="http://schemas.openxmlformats.org/officeDocument/2006/relationships/hyperlink" Target="https://www.thegioiic.com/1n5819w-diode-schottky-1a-40v-sod-123" TargetMode="External"/><Relationship Id="rId2" Type="http://schemas.openxmlformats.org/officeDocument/2006/relationships/hyperlink" Target="https://www.thegioiic.com/tu-gom-0805-10nf-50v" TargetMode="External"/><Relationship Id="rId15" Type="http://schemas.openxmlformats.org/officeDocument/2006/relationships/hyperlink" Target="https://www.thegioiic.com/vit-nhua-m3-dai-5mm" TargetMode="External"/><Relationship Id="rId14" Type="http://schemas.openxmlformats.org/officeDocument/2006/relationships/hyperlink" Target="https://www.thegioiic.com/ir2104spbf-mosfet-2-ngo-ra-360-ma-20v-8-soic" TargetMode="External"/><Relationship Id="rId13" Type="http://schemas.openxmlformats.org/officeDocument/2006/relationships/hyperlink" Target="https://www.thegioiic.com/pc817x2nipw-optoisolator-transistor-output-5000vrms-1-channel-sop-4" TargetMode="External"/><Relationship Id="rId12" Type="http://schemas.openxmlformats.org/officeDocument/2006/relationships/hyperlink" Target="https://www.thegioiic.com/dien-tro-10-kohm-0603-5-" TargetMode="External"/><Relationship Id="rId11" Type="http://schemas.openxmlformats.org/officeDocument/2006/relationships/hyperlink" Target="https://www.thegioiic.com/dien-tro-1-kohm-0603-5-" TargetMode="External"/><Relationship Id="rId10" Type="http://schemas.openxmlformats.org/officeDocument/2006/relationships/hyperlink" Target="https://www.thegioiic.com/dien-tro-100-ohm-0603-1-" TargetMode="External"/><Relationship Id="rId1" Type="http://schemas.openxmlformats.org/officeDocument/2006/relationships/hyperlink" Target="https://www.thegioiic.com/tu-gom-0603-22uf-10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C8" sqref="C8"/>
    </sheetView>
  </sheetViews>
  <sheetFormatPr defaultColWidth="8.88888888888889" defaultRowHeight="14.4" outlineLevelCol="6"/>
  <cols>
    <col min="1" max="1" width="17.6666666666667" customWidth="1"/>
    <col min="2" max="2" width="74.4444444444444" customWidth="1"/>
    <col min="3" max="3" width="21" customWidth="1"/>
    <col min="5" max="5" width="15.2222222222222" customWidth="1"/>
    <col min="6" max="6" width="15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/>
      <c r="C2" s="2" t="s">
        <v>8</v>
      </c>
      <c r="D2" s="2">
        <v>2</v>
      </c>
      <c r="E2" s="3">
        <v>550</v>
      </c>
      <c r="F2" s="3">
        <v>5500</v>
      </c>
      <c r="G2" s="4" t="s">
        <v>9</v>
      </c>
    </row>
    <row r="3" spans="1:7">
      <c r="A3" s="2" t="s">
        <v>10</v>
      </c>
      <c r="B3" s="2"/>
      <c r="C3" s="2" t="s">
        <v>11</v>
      </c>
      <c r="D3" s="2">
        <v>1</v>
      </c>
      <c r="E3" s="3">
        <v>190</v>
      </c>
      <c r="F3" s="3">
        <v>1900</v>
      </c>
      <c r="G3" s="4" t="s">
        <v>12</v>
      </c>
    </row>
    <row r="4" spans="1:7">
      <c r="A4" s="2" t="s">
        <v>13</v>
      </c>
      <c r="B4" s="2" t="s">
        <v>14</v>
      </c>
      <c r="C4" s="2" t="s">
        <v>15</v>
      </c>
      <c r="D4" s="2">
        <v>2</v>
      </c>
      <c r="E4" s="3">
        <v>350</v>
      </c>
      <c r="F4" s="3">
        <v>3500</v>
      </c>
      <c r="G4" s="4" t="s">
        <v>16</v>
      </c>
    </row>
    <row r="5" spans="1:7">
      <c r="A5" s="2" t="s">
        <v>17</v>
      </c>
      <c r="B5" s="2" t="s">
        <v>18</v>
      </c>
      <c r="C5" s="2" t="s">
        <v>19</v>
      </c>
      <c r="D5" s="2">
        <v>1</v>
      </c>
      <c r="E5" s="3">
        <v>190</v>
      </c>
      <c r="F5" s="3">
        <v>190</v>
      </c>
      <c r="G5" s="4" t="s">
        <v>20</v>
      </c>
    </row>
    <row r="6" spans="1:7">
      <c r="A6" s="2" t="s">
        <v>21</v>
      </c>
      <c r="B6" s="2" t="s">
        <v>22</v>
      </c>
      <c r="C6" s="2" t="s">
        <v>23</v>
      </c>
      <c r="D6" s="2">
        <v>1</v>
      </c>
      <c r="E6" s="3">
        <v>170</v>
      </c>
      <c r="F6" s="3">
        <v>170</v>
      </c>
      <c r="G6" s="4" t="s">
        <v>24</v>
      </c>
    </row>
    <row r="7" spans="1:7">
      <c r="A7" s="2" t="s">
        <v>25</v>
      </c>
      <c r="B7" s="2" t="s">
        <v>26</v>
      </c>
      <c r="C7" s="2" t="s">
        <v>27</v>
      </c>
      <c r="D7" s="2">
        <v>1</v>
      </c>
      <c r="E7" s="3">
        <v>1500</v>
      </c>
      <c r="F7" s="3">
        <v>1500</v>
      </c>
      <c r="G7" s="4" t="s">
        <v>28</v>
      </c>
    </row>
    <row r="8" spans="1:7">
      <c r="A8" s="2" t="s">
        <v>29</v>
      </c>
      <c r="B8" s="2" t="s">
        <v>30</v>
      </c>
      <c r="C8" s="2" t="s">
        <v>31</v>
      </c>
      <c r="D8" s="2">
        <v>2</v>
      </c>
      <c r="E8" s="3">
        <v>1500</v>
      </c>
      <c r="F8" s="3">
        <v>3000</v>
      </c>
      <c r="G8" s="4" t="s">
        <v>32</v>
      </c>
    </row>
    <row r="9" spans="1:7">
      <c r="A9" s="2" t="s">
        <v>33</v>
      </c>
      <c r="B9" s="2" t="s">
        <v>34</v>
      </c>
      <c r="C9" s="2" t="s">
        <v>35</v>
      </c>
      <c r="D9" s="2">
        <v>1</v>
      </c>
      <c r="E9" s="3">
        <v>4000</v>
      </c>
      <c r="F9" s="3">
        <v>4000</v>
      </c>
      <c r="G9" s="4" t="s">
        <v>36</v>
      </c>
    </row>
    <row r="10" spans="1:7">
      <c r="A10" s="2" t="s">
        <v>37</v>
      </c>
      <c r="B10" s="2" t="s">
        <v>38</v>
      </c>
      <c r="C10" s="2" t="s">
        <v>39</v>
      </c>
      <c r="D10" s="2">
        <v>4</v>
      </c>
      <c r="E10" s="3">
        <v>3000</v>
      </c>
      <c r="F10" s="3">
        <v>12000</v>
      </c>
      <c r="G10" s="4" t="s">
        <v>40</v>
      </c>
    </row>
    <row r="11" spans="1:7">
      <c r="A11" s="2" t="s">
        <v>41</v>
      </c>
      <c r="B11" s="2"/>
      <c r="C11" s="2" t="s">
        <v>42</v>
      </c>
      <c r="D11" s="2">
        <v>6</v>
      </c>
      <c r="E11" s="3">
        <v>38</v>
      </c>
      <c r="F11" s="3">
        <v>1900</v>
      </c>
      <c r="G11" s="4" t="s">
        <v>43</v>
      </c>
    </row>
    <row r="12" spans="1:7">
      <c r="A12" s="2" t="s">
        <v>44</v>
      </c>
      <c r="B12" s="2"/>
      <c r="C12" s="2" t="s">
        <v>45</v>
      </c>
      <c r="D12" s="2">
        <v>3</v>
      </c>
      <c r="E12" s="3">
        <v>32</v>
      </c>
      <c r="F12" s="3">
        <v>1600</v>
      </c>
      <c r="G12" s="4" t="s">
        <v>46</v>
      </c>
    </row>
    <row r="13" spans="1:7">
      <c r="A13" s="2" t="s">
        <v>47</v>
      </c>
      <c r="B13" s="2"/>
      <c r="C13" s="2" t="s">
        <v>48</v>
      </c>
      <c r="D13" s="2">
        <v>4</v>
      </c>
      <c r="E13" s="3">
        <v>3</v>
      </c>
      <c r="F13" s="3">
        <v>1600</v>
      </c>
      <c r="G13" s="4" t="s">
        <v>49</v>
      </c>
    </row>
    <row r="14" spans="1:7">
      <c r="A14" t="s">
        <v>50</v>
      </c>
      <c r="C14" t="s">
        <v>51</v>
      </c>
      <c r="D14">
        <v>1</v>
      </c>
      <c r="E14" s="5">
        <v>380</v>
      </c>
      <c r="F14" s="5">
        <f>E14*D14</f>
        <v>380</v>
      </c>
      <c r="G14" s="6" t="s">
        <v>52</v>
      </c>
    </row>
    <row r="15" spans="1:7">
      <c r="A15" s="2" t="s">
        <v>53</v>
      </c>
      <c r="B15" s="2" t="s">
        <v>54</v>
      </c>
      <c r="C15" s="2" t="s">
        <v>55</v>
      </c>
      <c r="D15" s="2">
        <v>2</v>
      </c>
      <c r="E15" s="3">
        <v>2800</v>
      </c>
      <c r="F15" s="3">
        <v>5600</v>
      </c>
      <c r="G15" s="4" t="s">
        <v>56</v>
      </c>
    </row>
    <row r="16" spans="1:7">
      <c r="A16" s="2" t="s">
        <v>57</v>
      </c>
      <c r="B16" s="2" t="s">
        <v>58</v>
      </c>
      <c r="C16" s="2" t="s">
        <v>59</v>
      </c>
      <c r="D16" s="2">
        <v>2</v>
      </c>
      <c r="E16" s="3">
        <v>15000</v>
      </c>
      <c r="F16" s="3">
        <v>30000</v>
      </c>
      <c r="G16" s="4" t="s">
        <v>60</v>
      </c>
    </row>
    <row r="17" spans="1:6">
      <c r="A17" t="s">
        <v>61</v>
      </c>
      <c r="B17" t="s">
        <v>62</v>
      </c>
      <c r="D17">
        <v>5</v>
      </c>
      <c r="E17" s="7">
        <v>20</v>
      </c>
      <c r="F17" s="7">
        <f>E17*D17</f>
        <v>100</v>
      </c>
    </row>
    <row r="18" spans="5:6">
      <c r="E18" s="8" t="s">
        <v>63</v>
      </c>
      <c r="F18" s="9">
        <f>SUM(F2:F17)-4*E17</f>
        <v>72860</v>
      </c>
    </row>
  </sheetData>
  <hyperlinks>
    <hyperlink ref="G2" r:id="rId1" display="https://www.thegioiic.com/tu-gom-0603-22uf-10v" tooltip="https://www.thegioiic.com/tu-gom-0603-22uf-10v"/>
    <hyperlink ref="G3" r:id="rId2" display="https://www.thegioiic.com/tu-gom-0805-10nf-50v" tooltip="https://www.thegioiic.com/tu-gom-0805-10nf-50v"/>
    <hyperlink ref="G4" r:id="rId3" display="https://www.thegioiic.com/1n5819w-diode-schottky-1a-40v-sod-123" tooltip="https://www.thegioiic.com/1n5819w-diode-schottky-1a-40v-sod-123"/>
    <hyperlink ref="G5" r:id="rId4" display="https://www.thegioiic.com/led-xanh-la-0603-dan-smd-trong-suot" tooltip="https://www.thegioiic.com/led-xanh-la-0603-dan-smd-trong-suot"/>
    <hyperlink ref="G6" r:id="rId5" display="https://www.thegioiic.com/led-xanh-duong-0603-dan-smd-trong-suot" tooltip="https://www.thegioiic.com/led-xanh-duong-0603-dan-smd-trong-suot"/>
    <hyperlink ref="G7" r:id="rId6" display="https://www.thegioiic.com/kf301-2-v-domino-2-chan-thang-5-08mm-300v-10a-han-pcb" tooltip="https://www.thegioiic.com/kf301-2-v-domino-2-chan-thang-5-08mm-300v-10a-han-pcb"/>
    <hyperlink ref="G8" r:id="rId7" display="https://www.thegioiic.com/kf120-2-v-domino-2-chan-thang-2-54mm-150v-6a-han-pcb" tooltip="https://www.thegioiic.com/kf120-2-v-domino-2-chan-thang-2-54mm-150v-6a-han-pcb"/>
    <hyperlink ref="G9" r:id="rId8" display="https://www.thegioiic.com/hang-rao-duc-doi-2-54mm-80-chan-2-hang-cao-21mm-xuyen-lo" tooltip="https://www.thegioiic.com/hang-rao-duc-doi-2-54mm-80-chan-2-hang-cao-21mm-xuyen-lo"/>
    <hyperlink ref="G10" r:id="rId9" display="https://www.thegioiic.com/irlr7843-mosfet-kenh-n-30v-161a-to-252-3" tooltip="https://www.thegioiic.com/irlr7843-mosfet-kenh-n-30v-161a-to-252-3"/>
    <hyperlink ref="G11" r:id="rId10" display="https://www.thegioiic.com/dien-tro-100-ohm-0603-1-" tooltip="https://www.thegioiic.com/dien-tro-100-ohm-0603-1-"/>
    <hyperlink ref="G12" r:id="rId11" display="https://www.thegioiic.com/dien-tro-1-kohm-0603-5-" tooltip="https://www.thegioiic.com/dien-tro-1-kohm-0603-5-"/>
    <hyperlink ref="G13" r:id="rId12" display="https://www.thegioiic.com/dien-tro-10-kohm-0603-5-" tooltip="https://www.thegioiic.com/dien-tro-10-kohm-0603-5-"/>
    <hyperlink ref="G15" r:id="rId13" display="https://www.thegioiic.com/pc817x2nipw-optoisolator-transistor-output-5000vrms-1-channel-sop-4" tooltip="https://www.thegioiic.com/pc817x2nipw-optoisolator-transistor-output-5000vrms-1-channel-sop-4"/>
    <hyperlink ref="G16" r:id="rId14" display="https://www.thegioiic.com/ir2104spbf-mosfet-2-ngo-ra-360-ma-20v-8-soic" tooltip="https://www.thegioiic.com/ir2104spbf-mosfet-2-ngo-ra-360-ma-20v-8-soic"/>
    <hyperlink ref="G14" r:id="rId15" display="https://www.thegioiic.com/vit-nhua-m3-dai-5m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crypt</dc:creator>
  <cp:lastModifiedBy>crypt</cp:lastModifiedBy>
  <dcterms:created xsi:type="dcterms:W3CDTF">2025-07-19T07:17:00Z</dcterms:created>
  <dcterms:modified xsi:type="dcterms:W3CDTF">2025-07-27T09:05:35Z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1AF2D0679B72483896D1690E35C053BD_11</vt:lpwstr>
  </property>
  <property fmtid="{D5CDD505-2E9C-101B-9397-08002B2CF9AE}" pid="3" name="KSOProductBuildVer">
    <vt:lpwstr>1033-12.2.0.21931</vt:lpwstr>
  </property>
</Properties>
</file>