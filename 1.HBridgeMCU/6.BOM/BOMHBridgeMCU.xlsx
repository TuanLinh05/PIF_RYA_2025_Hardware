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<sst xmlns="http://schemas.openxmlformats.org/spreadsheetml/2006/main" count="138" uniqueCount="138">
  <si>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Name</t>
  </si>
  <si>
    <t>Description</t>
  </si>
  <si>
    <t>Designator</t>
  </si>
  <si>
    <t>Quantity</t>
  </si>
  <si>
    <t>Price</t>
  </si>
  <si>
    <t>Price Total</t>
  </si>
  <si>
    <t>Supplier</t>
  </si>
  <si>
    <t>CAP, size 0603, 100 nF, 50 VDC</t>
  </si>
  <si>
    <t>C1, C4, C5, C6, C7, C8, C10</t>
  </si>
  <si>
    <t>https://www.thegioiic.com/tu-gom-0603-100nf-0-1uf-50v</t>
  </si>
  <si>
    <t>CAP, size 0603, 10 uF, 10 VDC</t>
  </si>
  <si>
    <t>C2</t>
  </si>
  <si>
    <t>https://www.thegioiic.com/tu-gom-0603-10uf-25v</t>
  </si>
  <si>
    <t>CAP, size 0603, 1 uF, 16 VDC</t>
  </si>
  <si>
    <t>C3, C9</t>
  </si>
  <si>
    <t>https://www.thegioiic.com/tu-gom-0603-1uf-25v</t>
  </si>
  <si>
    <t>CAP, size 0603, 8 pF, 50 VDC</t>
  </si>
  <si>
    <t>C11, C12</t>
  </si>
  <si>
    <t>https://www.thegioiic.com/tu-gom-0603-8pf-50v</t>
  </si>
  <si>
    <t>CAP, size 0603, 33 pF, 50 VDC</t>
  </si>
  <si>
    <t>C13, C14</t>
  </si>
  <si>
    <t>https://www.thegioiic.com/tu-gom-0603-33pf-50v</t>
  </si>
  <si>
    <t>V-Chip, D4 x H5.5mm, 22uF, 16V</t>
  </si>
  <si>
    <t>C15, C16</t>
  </si>
  <si>
    <t>https://www.thegioiic.com/tu-nhom-smd-22uf-16v-4x5-4mm</t>
  </si>
  <si>
    <t>CAP, size 0805, 0.1 nF, 50 VDC</t>
  </si>
  <si>
    <t>C17, C18</t>
  </si>
  <si>
    <t>https://www.thegioiic.com/tu-gom-0603-100pf-50v</t>
  </si>
  <si>
    <t>LED xanh dương</t>
  </si>
  <si>
    <t>WL-SMCW SMT Mono-color Chip LED Waterclear, size 0603, Blue, 3.2V, 140deg</t>
  </si>
  <si>
    <t>D1, D2</t>
  </si>
  <si>
    <t>https://www.thegioiic.com/led-xanh-duong-0805-dan-smd-trong-suot</t>
  </si>
  <si>
    <t>LED đỏ</t>
  </si>
  <si>
    <t>WL-SMCW SMT Mono-color Chip LED Blur, size 0603, Red, 2V, 140deg</t>
  </si>
  <si>
    <t>D3, D7</t>
  </si>
  <si>
    <t>https://www.thegioiic.com/led-do-0603-dan-smd-trong-suot</t>
  </si>
  <si>
    <t>LED trắng</t>
  </si>
  <si>
    <t>WL-SMCW SMT Mono-color Chip LED Blur, size 0603, White</t>
  </si>
  <si>
    <t>D4</t>
  </si>
  <si>
    <t>https://www.thegioiic.com/led-trang-0603-dan-smd-trong-suot</t>
  </si>
  <si>
    <t>1N5819W</t>
  </si>
  <si>
    <t>1N5819W Diode Schottky 1A 40V SOD-123</t>
  </si>
  <si>
    <t>D5, D6</t>
  </si>
  <si>
    <t>https://www.thegioiic.com/1n5819w-diode-schottky-1a-40v-sod-123</t>
  </si>
  <si>
    <t>SMAJ18A</t>
  </si>
  <si>
    <t>400W, 21.1V, 5%, Unidirectional, TVS</t>
  </si>
  <si>
    <t>D8, D10, D12, D14</t>
  </si>
  <si>
    <t>https://www.thegioiic.com/smaj18a</t>
  </si>
  <si>
    <t>ZMM18</t>
  </si>
  <si>
    <t>Diode Zener 18V</t>
  </si>
  <si>
    <t>D9, D11, D13, D15</t>
  </si>
  <si>
    <t>https://www.thegioiic.com/zmm18-diode-zener-18v-500mw-smd</t>
  </si>
  <si>
    <t>Glass Fuse, Size 0520, 250 VAC, 10A, F</t>
  </si>
  <si>
    <t>F1</t>
  </si>
  <si>
    <t>https://www.thegioiic.com/cau-chi-ong-thuy-tinh-10a-5x20mm-toc-do-f</t>
  </si>
  <si>
    <t>Resettable Fuse, Size 1812, 24V, 1.1A</t>
  </si>
  <si>
    <t>F2, F3</t>
  </si>
  <si>
    <t>https://www.thegioiic.com/mf-msmf110-24x-2-cau-chi-tu-phuc-hoi-1812-24v-1-1a</t>
  </si>
  <si>
    <t>Resettable Fuse, Size 1812, 30V, 0.2A</t>
  </si>
  <si>
    <t>F4</t>
  </si>
  <si>
    <t>https://www.thegioiic.com/mf-msmf020-2-cau-chi-tu-phuc-hoi-1812-0-20a-30v</t>
  </si>
  <si>
    <t>KF301-2-V Domino 2 Chân Thẳng 5.08mm 300V 10A Hàn PCB</t>
  </si>
  <si>
    <t>2 Pin Terminal Block 5mm Pitch</t>
  </si>
  <si>
    <t>J1</t>
  </si>
  <si>
    <t>https://www.thegioiic.com/kf301-2-v-domino-2-chan-thang-5-08mm-300v-10a-han-pcb</t>
  </si>
  <si>
    <t>KF301-3-V Domino 3 Chân Thẳng 5.08mm 300V 10A Hàn PCB</t>
  </si>
  <si>
    <t>Wire to Board 3 Position 5 mm Pitch 30-12 AWG Euro Style Terminal Block</t>
  </si>
  <si>
    <t>J2</t>
  </si>
  <si>
    <t>https://www.thegioiic.com/kf301-3-v-domino-3-chan-thang-5-08mm-300v-10a-han-pcb</t>
  </si>
  <si>
    <t>Hàng Rào Cái Đôi 2.54mm 12 Chân 2 Hàng SMD</t>
  </si>
  <si>
    <t>WR-PHD Socket Header, SMT, pitch 2.54mm, Dual Row, Vertical, 12p</t>
  </si>
  <si>
    <t>J3_U_MotorDriverConnector1, J3_U_MotorDriverConnector2, J3_U_MotorDriverConnector3, J3_U_MotorDriverConnector4</t>
  </si>
  <si>
    <t>https://www.thegioiic.com/hang-rao-cai-doi-2-54mm-12-chan-2-hang-smd</t>
  </si>
  <si>
    <t>Đầu SH1.0mm 3 Chân Dán SMD Thẳng Đứng</t>
  </si>
  <si>
    <t>WR-WTB SMT Male Vertical Shrouded Header, pitch 1mm, 3p</t>
  </si>
  <si>
    <t>P1</t>
  </si>
  <si>
    <t>https://www.thegioiic.com/dau-sh1-0mm-3-chan-dan-smd-thang-dung</t>
  </si>
  <si>
    <t>Hàng Rào Đực Đơn 2.54mm 40 Chân Cong 1 Hàng Cao 6mm Xuyên Lỗ</t>
  </si>
  <si>
    <t>WR-PHD Pin Header, THT, pitch 2.54mm, Single Row, Angled, 4p</t>
  </si>
  <si>
    <t>P2</t>
  </si>
  <si>
    <t>https://www.thegioiic.com/hang-rao-duc-don-2-54mm-40-chan-cong-1-hang-cao-6mm-xuyen-lo</t>
  </si>
  <si>
    <t>Đầu SH1.0mm 4 Chân Dán SMD Thẳng Đứng</t>
  </si>
  <si>
    <t>WR-WTB SMT Male Vertical Shrouded Header, pitch 1mm, 4p</t>
  </si>
  <si>
    <t>P3</t>
  </si>
  <si>
    <t>https://www.thegioiic.com/dau-sh1-0mm-4-chan-dan-smd-thang-dung</t>
  </si>
  <si>
    <t>Hàng Rào Đực Đôi 2.54mm 80 Chân 2 Hàng SMD</t>
  </si>
  <si>
    <t>WR-PHD Pin Header, SMT, pitch 2.54mm, Dual Row, Vertical, 6p</t>
  </si>
  <si>
    <t>P4</t>
  </si>
  <si>
    <t>https://www.thegioiic.com/hang-rao-duc-doi-2-54mm-80-chan-2-hang-smd</t>
  </si>
  <si>
    <t>AO3407A MOSFET Kênh P 30V 4.3A SOT-23-3</t>
  </si>
  <si>
    <t>P-Channel 30 V 4.3A (Ta) 1.4W (Ta) Surface Mount SOT-23-3</t>
  </si>
  <si>
    <t>Q1, Q2, Q3</t>
  </si>
  <si>
    <t>https://www.thegioiic.com/ao3407a-mosfet-kenh-p-30v-4-3a-sot-23-3</t>
  </si>
  <si>
    <t>AOD4185 MOSFET Kênh P 40V 40A TO-252-2 DPAK</t>
  </si>
  <si>
    <t>P-Channel 40V 40A (Tc) 2.5W (Ta), 62.5W (Tc) Surface Mount TO-252, (D-Pak)</t>
  </si>
  <si>
    <t>Q4, Q5, Q6</t>
  </si>
  <si>
    <t>https://www.thegioiic.com/aod4185-mosfet-kenh-p-40v-40a-to-252-2-dpak</t>
  </si>
  <si>
    <t>RES, size 0603, 1 KOhm, 1/4 W</t>
  </si>
  <si>
    <t>R1, R2, R3, R15</t>
  </si>
  <si>
    <t>https://www.thegioiic.com/dien-tro-1-kohm-0603-5-</t>
  </si>
  <si>
    <t>RES, size 0603, 0 Ohm, 1/4 W</t>
  </si>
  <si>
    <t>R4, R8, R12, R14</t>
  </si>
  <si>
    <t>https://www.thegioiic.com/dien-tro-0-ohm-0603-1-</t>
  </si>
  <si>
    <t>RES, size 0603, 10 KOhm, 1/4 W</t>
  </si>
  <si>
    <t>R5, R6, R7, R9, R10, R11_U_MotorDriverConnector1, R11_U_MotorDriverConnector2, R11_U_MotorDriverConnector3, R11_U_MotorDriverConnector4</t>
  </si>
  <si>
    <t>https://www.thegioiic.com/dien-tro-10-kohm-0603-5-</t>
  </si>
  <si>
    <t>RES, size 0603, 120 Ohm, 1/4 W</t>
  </si>
  <si>
    <t>R13</t>
  </si>
  <si>
    <t>https://www.thegioiic.com/dien-tro-120-ohm-0603-1-</t>
  </si>
  <si>
    <t>RES, size 0805, 10 KOhm, 1/8 W</t>
  </si>
  <si>
    <t>R16, R17, R18, R19, R20, R21</t>
  </si>
  <si>
    <t>https://www.thegioiic.com/dien-tro-10-kohm-0805-1-</t>
  </si>
  <si>
    <t>MP3.2</t>
  </si>
  <si>
    <t>Scr1, Scr2, Scr3, Scr4</t>
  </si>
  <si>
    <t>https://www.thegioiic.com/vit-nhua-m3-dai-5mm</t>
  </si>
  <si>
    <t>Nút Nhấn 3x6mm Cao 2.5mm 2 Chân SMD Đầu Đỏ</t>
  </si>
  <si>
    <t>WS-TASV SMT Tact Switch, L6 x W3.5 x H4.3mm, 260g, SPST-NO, 12V, 50mA</t>
  </si>
  <si>
    <t>SW1, SW2_U_MotorDriverConnector1, SW2_U_MotorDriverConnector2, SW2_U_MotorDriverConnector3, SW2_U_MotorDriverConnector4</t>
  </si>
  <si>
    <t>https://www.thegioiic.com/nut-nhan-3x6mm-cao-2-5mm-2-chan-smd-dau-do</t>
  </si>
  <si>
    <t>STM32F103RCT6</t>
  </si>
  <si>
    <t>ARMÂ® CortexÂ®-M3 STM32F1 Microcontroller IC 32-Bit 72MHz 256KB (256K x 8) FLASH 64-LQFP (10x10)</t>
  </si>
  <si>
    <t>U1</t>
  </si>
  <si>
    <t>https://www.thegioiic.com/stm32f103rct6-64-lqfp-32-bit-arm-cortex-m3-microcontroller-72mhz-256kb-flash</t>
  </si>
  <si>
    <t>TJA1050T IC CAN Transceiver 8-SOIC</t>
  </si>
  <si>
    <t>1/1 Transceiver Half CANbus 8-SO</t>
  </si>
  <si>
    <t>U2</t>
  </si>
  <si>
    <t>https://www.thegioiic.com/tja1050t-ic-can-transceiver-8-soic</t>
  </si>
  <si>
    <t>AMS1117-3.3V IC Ổn Áp 3.3V 1A SOT-223</t>
  </si>
  <si>
    <t>AMS1117-3.3V, OUT 3.3V 1A.</t>
  </si>
  <si>
    <t>U3</t>
  </si>
  <si>
    <t>https://www.thegioiic.com/ams1117-3-3v-ic-on-ap-3-3v-1a-sot-223</t>
  </si>
  <si>
    <t>Thạch Anh 8MHz 3225 4 Chân SMD</t>
  </si>
  <si>
    <t>CRYSTAL 8.000MHZ 8PF SMD</t>
  </si>
  <si>
    <t>Y1</t>
  </si>
  <si>
    <t>https://www.thegioiic.com/thach-anh-8mhz-3225-4-chan-smd</t>
  </si>
  <si>
    <t>PCB</t>
  </si>
  <si>
    <t>PCB-Pannel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</si>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</sst>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[$VND]\ * #,##0.00_ ;_ [$VND]\ * \-#,##0.00_ ;_ [$VND]\ * &quot;-&quot;??_ ;_ @_ "/>
    <numFmt numFmtId="179" formatCode="[$VND]\ #,##0.00;[$VND]\ \-#,##0.00"/>
  </numFmts>
  <fonts count="26">
    <font>
      <sz val="11"/>
      <color theme="1"/>
      <name val="Calibri"/>
      <charset val="134"/>
      <scheme val="minor"/>
    </font>
    <font>
      <b/>
      <sz val="11"/>
      <color rgb="FF000000"/>
      <name val="Calibri"/>
      <charset val="0"/>
    </font>
    <font>
      <sz val="11"/>
      <color rgb="FF000000"/>
      <name val="Calibri"/>
      <charset val="0"/>
    </font>
    <font>
      <u/>
      <sz val="11"/>
      <color rgb="FF467886"/>
      <name val="Calibri"/>
      <charset val="0"/>
    </font>
    <font>
      <sz val="11"/>
      <color theme="1"/>
      <name val="Calibri"/>
      <charset val="134"/>
    </font>
    <font>
      <u/>
      <sz val="11"/>
      <color rgb="FF0000FF"/>
      <name val="Calibri"/>
      <charset val="0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178" fontId="2" fillId="0" borderId="0" xfId="0" applyNumberFormat="1" applyFont="1" applyAlignment="1"/>
    <xf numFmtId="0" fontId="3" fillId="0" borderId="0" xfId="0" applyFont="1" applyAlignment="1"/>
    <xf numFmtId="178" fontId="4" fillId="0" borderId="0" xfId="0" applyNumberFormat="1" applyFont="1">
      <alignment vertical="center"/>
    </xf>
    <xf numFmtId="179" fontId="4" fillId="0" borderId="0" xfId="0" applyNumberFormat="1" applyFont="1">
      <alignment vertical="center"/>
    </xf>
    <xf numFmtId="0" fontId="5" fillId="0" borderId="0" xfId="6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178" fontId="6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hegioiic.com/led-trang-0603-dan-smd-trong-suot" TargetMode="External"/><Relationship Id="rId8" Type="http://schemas.openxmlformats.org/officeDocument/2006/relationships/hyperlink" Target="https://www.thegioiic.com/led-do-0603-dan-smd-trong-suot" TargetMode="External"/><Relationship Id="rId7" Type="http://schemas.openxmlformats.org/officeDocument/2006/relationships/hyperlink" Target="https://www.thegioiic.com/led-xanh-duong-0805-dan-smd-trong-suot" TargetMode="External"/><Relationship Id="rId6" Type="http://schemas.openxmlformats.org/officeDocument/2006/relationships/hyperlink" Target="https://www.thegioiic.com/tu-gom-0603-100pf-50v" TargetMode="External"/><Relationship Id="rId5" Type="http://schemas.openxmlformats.org/officeDocument/2006/relationships/hyperlink" Target="https://www.thegioiic.com/tu-nhom-smd-22uf-16v-4x5-4mm" TargetMode="External"/><Relationship Id="rId4" Type="http://schemas.openxmlformats.org/officeDocument/2006/relationships/hyperlink" Target="https://www.thegioiic.com/tu-gom-0603-33pf-50v" TargetMode="External"/><Relationship Id="rId36" Type="http://schemas.openxmlformats.org/officeDocument/2006/relationships/hyperlink" Target="https://www.thegioiic.com/vit-nhua-m3-dai-5mm" TargetMode="External"/><Relationship Id="rId35" Type="http://schemas.openxmlformats.org/officeDocument/2006/relationships/hyperlink" Target="https://www.thegioiic.com/tu-gom-0603-100nf-0-1uf-50v" TargetMode="External"/><Relationship Id="rId34" Type="http://schemas.openxmlformats.org/officeDocument/2006/relationships/hyperlink" Target="https://www.thegioiic.com/thach-anh-8mhz-3225-4-chan-smd" TargetMode="External"/><Relationship Id="rId33" Type="http://schemas.openxmlformats.org/officeDocument/2006/relationships/hyperlink" Target="https://www.thegioiic.com/ams1117-3-3v-ic-on-ap-3-3v-1a-sot-223" TargetMode="External"/><Relationship Id="rId32" Type="http://schemas.openxmlformats.org/officeDocument/2006/relationships/hyperlink" Target="https://www.thegioiic.com/tja1050t-ic-can-transceiver-8-soic" TargetMode="External"/><Relationship Id="rId31" Type="http://schemas.openxmlformats.org/officeDocument/2006/relationships/hyperlink" Target="https://www.thegioiic.com/stm32f103rct6-64-lqfp-32-bit-arm-cortex-m3-microcontroller-72mhz-256kb-flash" TargetMode="External"/><Relationship Id="rId30" Type="http://schemas.openxmlformats.org/officeDocument/2006/relationships/hyperlink" Target="https://www.thegioiic.com/nut-nhan-3x6mm-cao-2-5mm-2-chan-smd-dau-do" TargetMode="External"/><Relationship Id="rId3" Type="http://schemas.openxmlformats.org/officeDocument/2006/relationships/hyperlink" Target="https://www.thegioiic.com/tu-gom-0603-8pf-50v" TargetMode="External"/><Relationship Id="rId29" Type="http://schemas.openxmlformats.org/officeDocument/2006/relationships/hyperlink" Target="https://www.thegioiic.com/dien-tro-10-kohm-0805-1-" TargetMode="External"/><Relationship Id="rId28" Type="http://schemas.openxmlformats.org/officeDocument/2006/relationships/hyperlink" Target="https://www.thegioiic.com/dien-tro-120-ohm-0603-1-" TargetMode="External"/><Relationship Id="rId27" Type="http://schemas.openxmlformats.org/officeDocument/2006/relationships/hyperlink" Target="https://www.thegioiic.com/dien-tro-10-kohm-0603-5-" TargetMode="External"/><Relationship Id="rId26" Type="http://schemas.openxmlformats.org/officeDocument/2006/relationships/hyperlink" Target="https://www.thegioiic.com/dien-tro-0-ohm-0603-1-" TargetMode="External"/><Relationship Id="rId25" Type="http://schemas.openxmlformats.org/officeDocument/2006/relationships/hyperlink" Target="https://www.thegioiic.com/dien-tro-1-kohm-0603-5-" TargetMode="External"/><Relationship Id="rId24" Type="http://schemas.openxmlformats.org/officeDocument/2006/relationships/hyperlink" Target="https://www.thegioiic.com/aod4185-mosfet-kenh-p-40v-40a-to-252-2-dpak" TargetMode="External"/><Relationship Id="rId23" Type="http://schemas.openxmlformats.org/officeDocument/2006/relationships/hyperlink" Target="https://www.thegioiic.com/ao3407a-mosfet-kenh-p-30v-4-3a-sot-23-3" TargetMode="External"/><Relationship Id="rId22" Type="http://schemas.openxmlformats.org/officeDocument/2006/relationships/hyperlink" Target="https://www.thegioiic.com/hang-rao-duc-doi-2-54mm-80-chan-2-hang-smd" TargetMode="External"/><Relationship Id="rId21" Type="http://schemas.openxmlformats.org/officeDocument/2006/relationships/hyperlink" Target="https://www.thegioiic.com/dau-sh1-0mm-4-chan-dan-smd-thang-dung" TargetMode="External"/><Relationship Id="rId20" Type="http://schemas.openxmlformats.org/officeDocument/2006/relationships/hyperlink" Target="https://www.thegioiic.com/hang-rao-duc-don-2-54mm-40-chan-cong-1-hang-cao-6mm-xuyen-lo" TargetMode="External"/><Relationship Id="rId2" Type="http://schemas.openxmlformats.org/officeDocument/2006/relationships/hyperlink" Target="https://www.thegioiic.com/tu-gom-0603-1uf-25v" TargetMode="External"/><Relationship Id="rId19" Type="http://schemas.openxmlformats.org/officeDocument/2006/relationships/hyperlink" Target="https://www.thegioiic.com/dau-sh1-0mm-3-chan-dan-smd-thang-dung" TargetMode="External"/><Relationship Id="rId18" Type="http://schemas.openxmlformats.org/officeDocument/2006/relationships/hyperlink" Target="https://www.thegioiic.com/hang-rao-cai-doi-2-54mm-12-chan-2-hang-smd" TargetMode="External"/><Relationship Id="rId17" Type="http://schemas.openxmlformats.org/officeDocument/2006/relationships/hyperlink" Target="https://www.thegioiic.com/kf301-3-v-domino-3-chan-thang-5-08mm-300v-10a-han-pcb" TargetMode="External"/><Relationship Id="rId16" Type="http://schemas.openxmlformats.org/officeDocument/2006/relationships/hyperlink" Target="https://www.thegioiic.com/kf301-2-v-domino-2-chan-thang-5-08mm-300v-10a-han-pcb" TargetMode="External"/><Relationship Id="rId15" Type="http://schemas.openxmlformats.org/officeDocument/2006/relationships/hyperlink" Target="https://www.thegioiic.com/mf-msmf020-2-cau-chi-tu-phuc-hoi-1812-0-20a-30v" TargetMode="External"/><Relationship Id="rId14" Type="http://schemas.openxmlformats.org/officeDocument/2006/relationships/hyperlink" Target="https://www.thegioiic.com/mf-msmf110-24x-2-cau-chi-tu-phuc-hoi-1812-24v-1-1a" TargetMode="External"/><Relationship Id="rId13" Type="http://schemas.openxmlformats.org/officeDocument/2006/relationships/hyperlink" Target="https://www.thegioiic.com/cau-chi-ong-thuy-tinh-10a-5x20mm-toc-do-f" TargetMode="External"/><Relationship Id="rId12" Type="http://schemas.openxmlformats.org/officeDocument/2006/relationships/hyperlink" Target="https://www.thegioiic.com/zmm18-diode-zener-18v-500mw-smd" TargetMode="External"/><Relationship Id="rId11" Type="http://schemas.openxmlformats.org/officeDocument/2006/relationships/hyperlink" Target="https://www.thegioiic.com/smaj18a" TargetMode="External"/><Relationship Id="rId10" Type="http://schemas.openxmlformats.org/officeDocument/2006/relationships/hyperlink" Target="https://www.thegioiic.com/1n5819w-diode-schottky-1a-40v-sod-123" TargetMode="External"/><Relationship Id="rId1" Type="http://schemas.openxmlformats.org/officeDocument/2006/relationships/hyperlink" Target="https://www.thegioiic.com/tu-gom-0603-10uf-25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topLeftCell="B1" workbookViewId="0">
      <selection activeCell="C8" sqref="C8"/>
    </sheetView>
  </sheetViews>
  <sheetFormatPr defaultColWidth="8.88888888888889" defaultRowHeight="14.4" outlineLevelCol="6"/>
  <cols>
    <col min="1" max="1" width="21.7777777777778" customWidth="1"/>
    <col min="2" max="2" width="96.2222222222222" customWidth="1"/>
    <col min="3" max="3" width="139.111111111111" customWidth="1"/>
    <col min="5" max="5" width="15.2222222222222" customWidth="1"/>
    <col min="6" max="6" width="16.666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/>
      <c r="C2" s="2" t="s">
        <v>8</v>
      </c>
      <c r="D2" s="2">
        <v>7</v>
      </c>
      <c r="E2" s="3">
        <v>190</v>
      </c>
      <c r="F2" s="3">
        <f t="shared" ref="F2:F31" si="0">D2*E2</f>
        <v>1330</v>
      </c>
      <c r="G2" s="4" t="s">
        <v>9</v>
      </c>
    </row>
    <row r="3" spans="1:7">
      <c r="A3" s="2" t="s">
        <v>10</v>
      </c>
      <c r="B3" s="2"/>
      <c r="C3" s="2" t="s">
        <v>11</v>
      </c>
      <c r="D3" s="2">
        <v>1</v>
      </c>
      <c r="E3" s="3">
        <v>700</v>
      </c>
      <c r="F3" s="3">
        <f t="shared" si="0"/>
        <v>700</v>
      </c>
      <c r="G3" s="4" t="s">
        <v>12</v>
      </c>
    </row>
    <row r="4" spans="1:7">
      <c r="A4" s="2" t="s">
        <v>13</v>
      </c>
      <c r="B4" s="2"/>
      <c r="C4" s="2" t="s">
        <v>14</v>
      </c>
      <c r="D4" s="2">
        <v>2</v>
      </c>
      <c r="E4" s="3">
        <v>400</v>
      </c>
      <c r="F4" s="3">
        <f t="shared" si="0"/>
        <v>800</v>
      </c>
      <c r="G4" s="4" t="s">
        <v>15</v>
      </c>
    </row>
    <row r="5" spans="1:7">
      <c r="A5" s="2" t="s">
        <v>16</v>
      </c>
      <c r="B5" s="2"/>
      <c r="C5" s="2" t="s">
        <v>17</v>
      </c>
      <c r="D5" s="2">
        <v>2</v>
      </c>
      <c r="E5" s="3">
        <v>190</v>
      </c>
      <c r="F5" s="3">
        <f t="shared" si="0"/>
        <v>380</v>
      </c>
      <c r="G5" s="4" t="s">
        <v>18</v>
      </c>
    </row>
    <row r="6" spans="1:7">
      <c r="A6" s="2" t="s">
        <v>19</v>
      </c>
      <c r="B6" s="2"/>
      <c r="C6" s="2" t="s">
        <v>20</v>
      </c>
      <c r="D6" s="2">
        <v>2</v>
      </c>
      <c r="E6" s="3">
        <v>250</v>
      </c>
      <c r="F6" s="3">
        <f t="shared" si="0"/>
        <v>500</v>
      </c>
      <c r="G6" s="4" t="s">
        <v>21</v>
      </c>
    </row>
    <row r="7" spans="1:7">
      <c r="A7" s="2" t="s">
        <v>22</v>
      </c>
      <c r="B7" s="2"/>
      <c r="C7" s="2" t="s">
        <v>23</v>
      </c>
      <c r="D7" s="2">
        <v>2</v>
      </c>
      <c r="E7" s="3">
        <v>800</v>
      </c>
      <c r="F7" s="3">
        <f t="shared" si="0"/>
        <v>1600</v>
      </c>
      <c r="G7" s="4" t="s">
        <v>24</v>
      </c>
    </row>
    <row r="8" spans="1:7">
      <c r="A8" s="2" t="s">
        <v>25</v>
      </c>
      <c r="B8" s="2"/>
      <c r="C8" s="2" t="s">
        <v>26</v>
      </c>
      <c r="D8" s="2">
        <v>2</v>
      </c>
      <c r="E8" s="3">
        <v>190</v>
      </c>
      <c r="F8" s="3">
        <f t="shared" si="0"/>
        <v>380</v>
      </c>
      <c r="G8" s="4" t="s">
        <v>27</v>
      </c>
    </row>
    <row r="9" spans="1:7">
      <c r="A9" s="2" t="s">
        <v>28</v>
      </c>
      <c r="B9" s="2" t="s">
        <v>29</v>
      </c>
      <c r="C9" s="2" t="s">
        <v>30</v>
      </c>
      <c r="D9" s="2">
        <v>2</v>
      </c>
      <c r="E9" s="3">
        <v>230</v>
      </c>
      <c r="F9" s="3">
        <f t="shared" si="0"/>
        <v>460</v>
      </c>
      <c r="G9" s="4" t="s">
        <v>31</v>
      </c>
    </row>
    <row r="10" spans="1:7">
      <c r="A10" s="2" t="s">
        <v>32</v>
      </c>
      <c r="B10" s="2" t="s">
        <v>33</v>
      </c>
      <c r="C10" s="2" t="s">
        <v>34</v>
      </c>
      <c r="D10" s="2">
        <v>2</v>
      </c>
      <c r="E10" s="3">
        <v>180</v>
      </c>
      <c r="F10" s="3">
        <f t="shared" si="0"/>
        <v>360</v>
      </c>
      <c r="G10" s="4" t="s">
        <v>35</v>
      </c>
    </row>
    <row r="11" spans="1:7">
      <c r="A11" s="2" t="s">
        <v>36</v>
      </c>
      <c r="B11" s="2" t="s">
        <v>37</v>
      </c>
      <c r="C11" s="2" t="s">
        <v>38</v>
      </c>
      <c r="D11" s="2">
        <v>1</v>
      </c>
      <c r="E11" s="3">
        <v>210</v>
      </c>
      <c r="F11" s="3">
        <f t="shared" si="0"/>
        <v>210</v>
      </c>
      <c r="G11" s="4" t="s">
        <v>39</v>
      </c>
    </row>
    <row r="12" spans="1:7">
      <c r="A12" s="2" t="s">
        <v>40</v>
      </c>
      <c r="B12" s="2" t="s">
        <v>41</v>
      </c>
      <c r="C12" s="2" t="s">
        <v>42</v>
      </c>
      <c r="D12" s="2">
        <v>2</v>
      </c>
      <c r="E12" s="3">
        <v>350</v>
      </c>
      <c r="F12" s="3">
        <f t="shared" si="0"/>
        <v>700</v>
      </c>
      <c r="G12" s="4" t="s">
        <v>43</v>
      </c>
    </row>
    <row r="13" spans="1:7">
      <c r="A13" s="2" t="s">
        <v>44</v>
      </c>
      <c r="B13" s="2" t="s">
        <v>45</v>
      </c>
      <c r="C13" s="2" t="s">
        <v>46</v>
      </c>
      <c r="D13" s="2">
        <v>4</v>
      </c>
      <c r="E13" s="3">
        <v>500</v>
      </c>
      <c r="F13" s="3">
        <f t="shared" si="0"/>
        <v>2000</v>
      </c>
      <c r="G13" s="4" t="s">
        <v>47</v>
      </c>
    </row>
    <row r="14" spans="1:7">
      <c r="A14" s="2" t="s">
        <v>48</v>
      </c>
      <c r="B14" s="2" t="s">
        <v>49</v>
      </c>
      <c r="C14" s="2" t="s">
        <v>50</v>
      </c>
      <c r="D14" s="2">
        <v>4</v>
      </c>
      <c r="E14" s="3">
        <v>200</v>
      </c>
      <c r="F14" s="3">
        <f t="shared" si="0"/>
        <v>800</v>
      </c>
      <c r="G14" s="4" t="s">
        <v>51</v>
      </c>
    </row>
    <row r="15" spans="1:7">
      <c r="A15" s="2" t="s">
        <v>52</v>
      </c>
      <c r="B15" s="2"/>
      <c r="C15" s="2" t="s">
        <v>53</v>
      </c>
      <c r="D15" s="2">
        <v>1</v>
      </c>
      <c r="E15" s="3">
        <v>500</v>
      </c>
      <c r="F15" s="3">
        <f t="shared" si="0"/>
        <v>500</v>
      </c>
      <c r="G15" s="4" t="s">
        <v>54</v>
      </c>
    </row>
    <row r="16" spans="1:7">
      <c r="A16" s="2" t="s">
        <v>55</v>
      </c>
      <c r="B16" s="2"/>
      <c r="C16" s="2" t="s">
        <v>56</v>
      </c>
      <c r="D16" s="2">
        <v>2</v>
      </c>
      <c r="E16" s="3">
        <v>2500</v>
      </c>
      <c r="F16" s="3">
        <f t="shared" si="0"/>
        <v>5000</v>
      </c>
      <c r="G16" s="4" t="s">
        <v>57</v>
      </c>
    </row>
    <row r="17" spans="1:7">
      <c r="A17" s="2" t="s">
        <v>58</v>
      </c>
      <c r="B17" s="2"/>
      <c r="C17" s="2" t="s">
        <v>59</v>
      </c>
      <c r="D17" s="2">
        <v>1</v>
      </c>
      <c r="E17" s="3">
        <v>1500</v>
      </c>
      <c r="F17" s="3">
        <f t="shared" si="0"/>
        <v>1500</v>
      </c>
      <c r="G17" s="4" t="s">
        <v>60</v>
      </c>
    </row>
    <row r="18" spans="1:7">
      <c r="A18" s="2" t="s">
        <v>61</v>
      </c>
      <c r="B18" s="2" t="s">
        <v>62</v>
      </c>
      <c r="C18" s="2" t="s">
        <v>63</v>
      </c>
      <c r="D18" s="2">
        <v>1</v>
      </c>
      <c r="E18" s="3">
        <v>1500</v>
      </c>
      <c r="F18" s="3">
        <f t="shared" si="0"/>
        <v>1500</v>
      </c>
      <c r="G18" s="4" t="s">
        <v>64</v>
      </c>
    </row>
    <row r="19" spans="1:7">
      <c r="A19" s="2" t="s">
        <v>65</v>
      </c>
      <c r="B19" s="2" t="s">
        <v>66</v>
      </c>
      <c r="C19" s="2" t="s">
        <v>67</v>
      </c>
      <c r="D19" s="2">
        <v>1</v>
      </c>
      <c r="E19" s="3">
        <v>2500</v>
      </c>
      <c r="F19" s="3">
        <f t="shared" si="0"/>
        <v>2500</v>
      </c>
      <c r="G19" s="4" t="s">
        <v>68</v>
      </c>
    </row>
    <row r="20" spans="1:7">
      <c r="A20" s="2" t="s">
        <v>69</v>
      </c>
      <c r="B20" s="2" t="s">
        <v>70</v>
      </c>
      <c r="C20" s="2" t="s">
        <v>71</v>
      </c>
      <c r="D20" s="2">
        <v>4</v>
      </c>
      <c r="E20" s="3">
        <v>2200</v>
      </c>
      <c r="F20" s="3">
        <f t="shared" si="0"/>
        <v>8800</v>
      </c>
      <c r="G20" s="4" t="s">
        <v>72</v>
      </c>
    </row>
    <row r="21" spans="1:7">
      <c r="A21" s="2" t="s">
        <v>73</v>
      </c>
      <c r="B21" s="2" t="s">
        <v>74</v>
      </c>
      <c r="C21" s="2" t="s">
        <v>75</v>
      </c>
      <c r="D21" s="2">
        <v>1</v>
      </c>
      <c r="E21" s="3">
        <v>800</v>
      </c>
      <c r="F21" s="3">
        <f t="shared" si="0"/>
        <v>800</v>
      </c>
      <c r="G21" s="4" t="s">
        <v>76</v>
      </c>
    </row>
    <row r="22" spans="1:7">
      <c r="A22" s="2" t="s">
        <v>77</v>
      </c>
      <c r="B22" s="2" t="s">
        <v>78</v>
      </c>
      <c r="C22" s="2" t="s">
        <v>79</v>
      </c>
      <c r="D22" s="2">
        <v>1</v>
      </c>
      <c r="E22" s="3">
        <v>900</v>
      </c>
      <c r="F22" s="3">
        <f t="shared" si="0"/>
        <v>900</v>
      </c>
      <c r="G22" s="4" t="s">
        <v>80</v>
      </c>
    </row>
    <row r="23" spans="1:7">
      <c r="A23" s="2" t="s">
        <v>81</v>
      </c>
      <c r="B23" s="2" t="s">
        <v>82</v>
      </c>
      <c r="C23" s="2" t="s">
        <v>83</v>
      </c>
      <c r="D23" s="2">
        <v>1</v>
      </c>
      <c r="E23" s="3">
        <v>900</v>
      </c>
      <c r="F23" s="3">
        <f t="shared" si="0"/>
        <v>900</v>
      </c>
      <c r="G23" s="4" t="s">
        <v>84</v>
      </c>
    </row>
    <row r="24" spans="1:7">
      <c r="A24" s="2" t="s">
        <v>85</v>
      </c>
      <c r="B24" s="2" t="s">
        <v>86</v>
      </c>
      <c r="C24" s="2" t="s">
        <v>87</v>
      </c>
      <c r="D24" s="2">
        <v>1</v>
      </c>
      <c r="E24" s="3">
        <v>4500</v>
      </c>
      <c r="F24" s="3">
        <f t="shared" si="0"/>
        <v>4500</v>
      </c>
      <c r="G24" s="4" t="s">
        <v>88</v>
      </c>
    </row>
    <row r="25" spans="1:7">
      <c r="A25" s="2" t="s">
        <v>89</v>
      </c>
      <c r="B25" s="2" t="s">
        <v>90</v>
      </c>
      <c r="C25" s="2" t="s">
        <v>91</v>
      </c>
      <c r="D25" s="2">
        <v>3</v>
      </c>
      <c r="E25" s="3">
        <v>2000</v>
      </c>
      <c r="F25" s="3">
        <f t="shared" si="0"/>
        <v>6000</v>
      </c>
      <c r="G25" s="4" t="s">
        <v>92</v>
      </c>
    </row>
    <row r="26" spans="1:7">
      <c r="A26" s="2" t="s">
        <v>93</v>
      </c>
      <c r="B26" s="2" t="s">
        <v>94</v>
      </c>
      <c r="C26" s="2" t="s">
        <v>95</v>
      </c>
      <c r="D26" s="2">
        <v>3</v>
      </c>
      <c r="E26" s="3">
        <v>8000</v>
      </c>
      <c r="F26" s="3">
        <f t="shared" si="0"/>
        <v>24000</v>
      </c>
      <c r="G26" s="4" t="s">
        <v>96</v>
      </c>
    </row>
    <row r="27" spans="1:7">
      <c r="A27" s="2" t="s">
        <v>97</v>
      </c>
      <c r="B27" s="2"/>
      <c r="C27" s="2" t="s">
        <v>98</v>
      </c>
      <c r="D27" s="2">
        <v>4</v>
      </c>
      <c r="E27" s="3">
        <v>32</v>
      </c>
      <c r="F27" s="3">
        <f t="shared" si="0"/>
        <v>128</v>
      </c>
      <c r="G27" s="4" t="s">
        <v>99</v>
      </c>
    </row>
    <row r="28" spans="1:7">
      <c r="A28" s="2" t="s">
        <v>100</v>
      </c>
      <c r="B28" s="2"/>
      <c r="C28" s="2" t="s">
        <v>101</v>
      </c>
      <c r="D28" s="2">
        <v>4</v>
      </c>
      <c r="E28" s="3">
        <v>38</v>
      </c>
      <c r="F28" s="3">
        <f t="shared" si="0"/>
        <v>152</v>
      </c>
      <c r="G28" s="4" t="s">
        <v>102</v>
      </c>
    </row>
    <row r="29" spans="1:7">
      <c r="A29" s="2" t="s">
        <v>103</v>
      </c>
      <c r="B29" s="2"/>
      <c r="C29" s="2" t="s">
        <v>104</v>
      </c>
      <c r="D29" s="2">
        <v>9</v>
      </c>
      <c r="E29" s="3">
        <v>32</v>
      </c>
      <c r="F29" s="3">
        <f t="shared" si="0"/>
        <v>288</v>
      </c>
      <c r="G29" s="4" t="s">
        <v>105</v>
      </c>
    </row>
    <row r="30" spans="1:7">
      <c r="A30" s="2" t="s">
        <v>106</v>
      </c>
      <c r="B30" s="2"/>
      <c r="C30" s="2" t="s">
        <v>107</v>
      </c>
      <c r="D30" s="2">
        <v>1</v>
      </c>
      <c r="E30" s="3">
        <v>38</v>
      </c>
      <c r="F30" s="3">
        <f t="shared" si="0"/>
        <v>38</v>
      </c>
      <c r="G30" s="4" t="s">
        <v>108</v>
      </c>
    </row>
    <row r="31" spans="1:7">
      <c r="A31" s="2" t="s">
        <v>109</v>
      </c>
      <c r="B31" s="2"/>
      <c r="C31" s="2" t="s">
        <v>110</v>
      </c>
      <c r="D31" s="2">
        <v>6</v>
      </c>
      <c r="E31" s="3">
        <v>56</v>
      </c>
      <c r="F31" s="3">
        <f t="shared" si="0"/>
        <v>336</v>
      </c>
      <c r="G31" s="4" t="s">
        <v>111</v>
      </c>
    </row>
    <row r="32" spans="1:7">
      <c r="A32" s="2" t="s">
        <v>112</v>
      </c>
      <c r="B32" s="2"/>
      <c r="C32" s="2" t="s">
        <v>113</v>
      </c>
      <c r="D32" s="2">
        <v>4</v>
      </c>
      <c r="E32" s="5">
        <v>380</v>
      </c>
      <c r="F32" s="6">
        <f>E32*D32</f>
        <v>1520</v>
      </c>
      <c r="G32" s="7" t="s">
        <v>114</v>
      </c>
    </row>
    <row r="33" spans="1:7">
      <c r="A33" s="2" t="s">
        <v>115</v>
      </c>
      <c r="B33" s="2" t="s">
        <v>116</v>
      </c>
      <c r="C33" s="2" t="s">
        <v>117</v>
      </c>
      <c r="D33" s="2">
        <v>5</v>
      </c>
      <c r="E33" s="3">
        <v>400</v>
      </c>
      <c r="F33" s="3">
        <f t="shared" ref="F33:F38" si="1">D33*E33</f>
        <v>2000</v>
      </c>
      <c r="G33" s="4" t="s">
        <v>118</v>
      </c>
    </row>
    <row r="34" spans="1:7">
      <c r="A34" s="2" t="s">
        <v>119</v>
      </c>
      <c r="B34" s="2" t="s">
        <v>120</v>
      </c>
      <c r="C34" s="2" t="s">
        <v>121</v>
      </c>
      <c r="D34" s="2">
        <v>1</v>
      </c>
      <c r="E34" s="3">
        <v>44000</v>
      </c>
      <c r="F34" s="3">
        <f t="shared" si="1"/>
        <v>44000</v>
      </c>
      <c r="G34" s="4" t="s">
        <v>122</v>
      </c>
    </row>
    <row r="35" spans="1:7">
      <c r="A35" s="2" t="s">
        <v>123</v>
      </c>
      <c r="B35" s="2" t="s">
        <v>124</v>
      </c>
      <c r="C35" s="2" t="s">
        <v>125</v>
      </c>
      <c r="D35" s="2">
        <v>1</v>
      </c>
      <c r="E35" s="3">
        <v>20000</v>
      </c>
      <c r="F35" s="3">
        <f t="shared" si="1"/>
        <v>20000</v>
      </c>
      <c r="G35" s="4" t="s">
        <v>126</v>
      </c>
    </row>
    <row r="36" spans="1:7">
      <c r="A36" s="2" t="s">
        <v>127</v>
      </c>
      <c r="B36" s="2" t="s">
        <v>128</v>
      </c>
      <c r="C36" s="2" t="s">
        <v>129</v>
      </c>
      <c r="D36" s="2">
        <v>1</v>
      </c>
      <c r="E36" s="3">
        <v>3500</v>
      </c>
      <c r="F36" s="3">
        <f t="shared" si="1"/>
        <v>3500</v>
      </c>
      <c r="G36" s="4" t="s">
        <v>130</v>
      </c>
    </row>
    <row r="37" spans="1:7">
      <c r="A37" s="2" t="s">
        <v>131</v>
      </c>
      <c r="B37" s="2" t="s">
        <v>132</v>
      </c>
      <c r="C37" s="2" t="s">
        <v>133</v>
      </c>
      <c r="D37" s="2">
        <v>1</v>
      </c>
      <c r="E37" s="3">
        <v>4000</v>
      </c>
      <c r="F37" s="3">
        <f t="shared" si="1"/>
        <v>4000</v>
      </c>
      <c r="G37" s="4" t="s">
        <v>134</v>
      </c>
    </row>
    <row r="38" spans="1:7">
      <c r="A38" s="8" t="s">
        <v>135</v>
      </c>
      <c r="B38" s="8" t="s">
        <v>136</v>
      </c>
      <c r="C38" s="8"/>
      <c r="D38" s="8">
        <v>5</v>
      </c>
      <c r="E38" s="6">
        <v>20000</v>
      </c>
      <c r="F38" s="3">
        <f t="shared" si="1"/>
        <v>100000</v>
      </c>
      <c r="G38" s="8"/>
    </row>
    <row r="39" spans="5:6">
      <c r="E39" s="9" t="s">
        <v>137</v>
      </c>
      <c r="F39" s="10">
        <f>SUM(F2:F38)-4*E38</f>
        <v>163082</v>
      </c>
    </row>
  </sheetData>
  <hyperlinks>
    <hyperlink ref="G3" r:id="rId1" display="https://www.thegioiic.com/tu-gom-0603-10uf-25v" tooltip="https://www.thegioiic.com/tu-gom-0603-10uf-25v"/>
    <hyperlink ref="G4" r:id="rId2" display="https://www.thegioiic.com/tu-gom-0603-1uf-25v" tooltip="https://www.thegioiic.com/tu-gom-0603-1uf-25v"/>
    <hyperlink ref="G5" r:id="rId3" display="https://www.thegioiic.com/tu-gom-0603-8pf-50v" tooltip="https://www.thegioiic.com/tu-gom-0603-8pf-50v"/>
    <hyperlink ref="G6" r:id="rId4" display="https://www.thegioiic.com/tu-gom-0603-33pf-50v" tooltip="https://www.thegioiic.com/tu-gom-0603-33pf-50v"/>
    <hyperlink ref="G7" r:id="rId5" display="https://www.thegioiic.com/tu-nhom-smd-22uf-16v-4x5-4mm" tooltip="https://www.thegioiic.com/tu-nhom-smd-22uf-16v-4x5-4mm"/>
    <hyperlink ref="G8" r:id="rId6" display="https://www.thegioiic.com/tu-gom-0603-100pf-50v" tooltip="https://www.thegioiic.com/tu-gom-0603-100pf-50v"/>
    <hyperlink ref="G9" r:id="rId7" display="https://www.thegioiic.com/led-xanh-duong-0805-dan-smd-trong-suot" tooltip="https://www.thegioiic.com/led-xanh-duong-0805-dan-smd-trong-suot"/>
    <hyperlink ref="G10" r:id="rId8" display="https://www.thegioiic.com/led-do-0603-dan-smd-trong-suot" tooltip="https://www.thegioiic.com/led-do-0603-dan-smd-trong-suot"/>
    <hyperlink ref="G11" r:id="rId9" display="https://www.thegioiic.com/led-trang-0603-dan-smd-trong-suot" tooltip="https://www.thegioiic.com/led-trang-0603-dan-smd-trong-suot"/>
    <hyperlink ref="G12" r:id="rId10" display="https://www.thegioiic.com/1n5819w-diode-schottky-1a-40v-sod-123" tooltip="https://www.thegioiic.com/1n5819w-diode-schottky-1a-40v-sod-123"/>
    <hyperlink ref="G13" r:id="rId11" display="https://www.thegioiic.com/smaj18a" tooltip="https://www.thegioiic.com/smaj18a"/>
    <hyperlink ref="G14" r:id="rId12" display="https://www.thegioiic.com/zmm18-diode-zener-18v-500mw-smd" tooltip="https://www.thegioiic.com/zmm18-diode-zener-18v-500mw-smd"/>
    <hyperlink ref="G15" r:id="rId13" display="https://www.thegioiic.com/cau-chi-ong-thuy-tinh-10a-5x20mm-toc-do-f" tooltip="https://www.thegioiic.com/cau-chi-ong-thuy-tinh-10a-5x20mm-toc-do-f"/>
    <hyperlink ref="G16" r:id="rId14" display="https://www.thegioiic.com/mf-msmf110-24x-2-cau-chi-tu-phuc-hoi-1812-24v-1-1a" tooltip="https://www.thegioiic.com/mf-msmf110-24x-2-cau-chi-tu-phuc-hoi-1812-24v-1-1a"/>
    <hyperlink ref="G17" r:id="rId15" display="https://www.thegioiic.com/mf-msmf020-2-cau-chi-tu-phuc-hoi-1812-0-20a-30v" tooltip="https://www.thegioiic.com/mf-msmf020-2-cau-chi-tu-phuc-hoi-1812-0-20a-30v"/>
    <hyperlink ref="G18" r:id="rId16" display="https://www.thegioiic.com/kf301-2-v-domino-2-chan-thang-5-08mm-300v-10a-han-pcb" tooltip="https://www.thegioiic.com/kf301-2-v-domino-2-chan-thang-5-08mm-300v-10a-han-pcb"/>
    <hyperlink ref="G19" r:id="rId17" display="https://www.thegioiic.com/kf301-3-v-domino-3-chan-thang-5-08mm-300v-10a-han-pcb" tooltip="https://www.thegioiic.com/kf301-3-v-domino-3-chan-thang-5-08mm-300v-10a-han-pcb"/>
    <hyperlink ref="G20" r:id="rId18" display="https://www.thegioiic.com/hang-rao-cai-doi-2-54mm-12-chan-2-hang-smd" tooltip="https://www.thegioiic.com/hang-rao-cai-doi-2-54mm-12-chan-2-hang-smd"/>
    <hyperlink ref="G21" r:id="rId19" display="https://www.thegioiic.com/dau-sh1-0mm-3-chan-dan-smd-thang-dung" tooltip="https://www.thegioiic.com/dau-sh1-0mm-3-chan-dan-smd-thang-dung"/>
    <hyperlink ref="G22" r:id="rId20" display="https://www.thegioiic.com/hang-rao-duc-don-2-54mm-40-chan-cong-1-hang-cao-6mm-xuyen-lo" tooltip="https://www.thegioiic.com/hang-rao-duc-don-2-54mm-40-chan-cong-1-hang-cao-6mm-xuyen-lo"/>
    <hyperlink ref="G23" r:id="rId21" display="https://www.thegioiic.com/dau-sh1-0mm-4-chan-dan-smd-thang-dung" tooltip="https://www.thegioiic.com/dau-sh1-0mm-4-chan-dan-smd-thang-dung"/>
    <hyperlink ref="G24" r:id="rId22" display="https://www.thegioiic.com/hang-rao-duc-doi-2-54mm-80-chan-2-hang-smd" tooltip="https://www.thegioiic.com/hang-rao-duc-doi-2-54mm-80-chan-2-hang-smd"/>
    <hyperlink ref="G25" r:id="rId23" display="https://www.thegioiic.com/ao3407a-mosfet-kenh-p-30v-4-3a-sot-23-3" tooltip="https://www.thegioiic.com/ao3407a-mosfet-kenh-p-30v-4-3a-sot-23-3"/>
    <hyperlink ref="G26" r:id="rId24" display="https://www.thegioiic.com/aod4185-mosfet-kenh-p-40v-40a-to-252-2-dpak" tooltip="https://www.thegioiic.com/aod4185-mosfet-kenh-p-40v-40a-to-252-2-dpak"/>
    <hyperlink ref="G27" r:id="rId25" display="https://www.thegioiic.com/dien-tro-1-kohm-0603-5-" tooltip="https://www.thegioiic.com/dien-tro-1-kohm-0603-5-"/>
    <hyperlink ref="G28" r:id="rId26" display="https://www.thegioiic.com/dien-tro-0-ohm-0603-1-" tooltip="https://www.thegioiic.com/dien-tro-0-ohm-0603-1-"/>
    <hyperlink ref="G29" r:id="rId27" display="https://www.thegioiic.com/dien-tro-10-kohm-0603-5-" tooltip="https://www.thegioiic.com/dien-tro-10-kohm-0603-5-"/>
    <hyperlink ref="G30" r:id="rId28" display="https://www.thegioiic.com/dien-tro-120-ohm-0603-1-" tooltip="https://www.thegioiic.com/dien-tro-120-ohm-0603-1-"/>
    <hyperlink ref="G31" r:id="rId29" display="https://www.thegioiic.com/dien-tro-10-kohm-0805-1-" tooltip="https://www.thegioiic.com/dien-tro-10-kohm-0805-1-"/>
    <hyperlink ref="G33" r:id="rId30" display="https://www.thegioiic.com/nut-nhan-3x6mm-cao-2-5mm-2-chan-smd-dau-do" tooltip="https://www.thegioiic.com/nut-nhan-3x6mm-cao-2-5mm-2-chan-smd-dau-do"/>
    <hyperlink ref="G34" r:id="rId31" display="https://www.thegioiic.com/stm32f103rct6-64-lqfp-32-bit-arm-cortex-m3-microcontroller-72mhz-256kb-flash" tooltip="https://www.thegioiic.com/stm32f103rct6-64-lqfp-32-bit-arm-cortex-m3-microcontroller-72mhz-256kb-flash"/>
    <hyperlink ref="G35" r:id="rId32" display="https://www.thegioiic.com/tja1050t-ic-can-transceiver-8-soic" tooltip="https://www.thegioiic.com/tja1050t-ic-can-transceiver-8-soic"/>
    <hyperlink ref="G36" r:id="rId33" display="https://www.thegioiic.com/ams1117-3-3v-ic-on-ap-3-3v-1a-sot-223" tooltip="https://www.thegioiic.com/ams1117-3-3v-ic-on-ap-3-3v-1a-sot-223"/>
    <hyperlink ref="G37" r:id="rId34" display="https://www.thegioiic.com/thach-anh-8mhz-3225-4-chan-smd" tooltip="https://www.thegioiic.com/thach-anh-8mhz-3225-4-chan-smd"/>
    <hyperlink ref="G2" r:id="rId35" display="https://www.thegioiic.com/tu-gom-0603-100nf-0-1uf-50v" tooltip="https://www.thegioiic.com/tu-gom-0603-100nf-0-1uf-50v"/>
    <hyperlink ref="G32" r:id="rId36" display="https://www.thegioiic.com/vit-nhua-m3-dai-5m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crypt</dc:creator>
  <cp:lastModifiedBy>crypt</cp:lastModifiedBy>
  <dcterms:created xsi:type="dcterms:W3CDTF">2025-07-19T07:20:00Z</dcterms:created>
  <dcterms:modified xsi:type="dcterms:W3CDTF">2025-07-27T09:06:36Z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1359BD4E7AA348A880F4A4EC2A98E4D0_11</vt:lpwstr>
  </property>
  <property fmtid="{D5CDD505-2E9C-101B-9397-08002B2CF9AE}" pid="3" name="KSOProductBuildVer">
    <vt:lpwstr>1033-12.2.0.21931</vt:lpwstr>
  </property>
</Properties>
</file>